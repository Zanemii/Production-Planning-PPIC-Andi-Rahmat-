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Learn\PPIC\"/>
    </mc:Choice>
  </mc:AlternateContent>
  <xr:revisionPtr revIDLastSave="0" documentId="13_ncr:1_{FFD35AFB-43E4-42AF-83FF-049E2319F295}" xr6:coauthVersionLast="47" xr6:coauthVersionMax="47" xr10:uidLastSave="{00000000-0000-0000-0000-000000000000}"/>
  <bookViews>
    <workbookView xWindow="-108" yWindow="-108" windowWidth="23256" windowHeight="13896" activeTab="2" xr2:uid="{ECDF577E-3580-47F3-A2EC-E435A8B5011D}"/>
  </bookViews>
  <sheets>
    <sheet name="Agregat Planning" sheetId="9" r:id="rId1"/>
    <sheet name="MPS" sheetId="10" r:id="rId2"/>
    <sheet name="RCCP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0" l="1"/>
  <c r="U7" i="10"/>
  <c r="U8" i="10"/>
  <c r="S6" i="10"/>
  <c r="S7" i="10"/>
  <c r="S8" i="10"/>
  <c r="Q6" i="10"/>
  <c r="Q7" i="10"/>
  <c r="Q8" i="10"/>
  <c r="O6" i="10"/>
  <c r="O7" i="10"/>
  <c r="O8" i="10"/>
  <c r="M6" i="10"/>
  <c r="M7" i="10"/>
  <c r="M8" i="10"/>
  <c r="K6" i="10"/>
  <c r="K7" i="10"/>
  <c r="K8" i="10"/>
  <c r="I7" i="10"/>
  <c r="I8" i="10"/>
  <c r="G7" i="10"/>
  <c r="G8" i="10"/>
  <c r="I6" i="10"/>
  <c r="G6" i="10"/>
  <c r="U5" i="10"/>
  <c r="S5" i="10"/>
  <c r="Q5" i="10"/>
  <c r="O5" i="10"/>
  <c r="M5" i="10"/>
  <c r="K5" i="10"/>
  <c r="I5" i="10"/>
  <c r="G5" i="10"/>
  <c r="O7" i="9"/>
  <c r="O8" i="9"/>
  <c r="O6" i="9"/>
  <c r="L7" i="9"/>
  <c r="L8" i="9"/>
  <c r="L6" i="9"/>
  <c r="I7" i="9"/>
  <c r="I8" i="9"/>
  <c r="I6" i="9"/>
  <c r="F7" i="9"/>
  <c r="F8" i="9"/>
  <c r="F6" i="9"/>
  <c r="E18" i="10" l="1"/>
  <c r="J18" i="12"/>
  <c r="I18" i="12"/>
  <c r="H18" i="12"/>
  <c r="G18" i="12"/>
  <c r="J17" i="12"/>
  <c r="I17" i="12"/>
  <c r="H17" i="12"/>
  <c r="G17" i="12"/>
  <c r="J16" i="12"/>
  <c r="I16" i="12"/>
  <c r="H16" i="12"/>
  <c r="G16" i="12"/>
  <c r="J15" i="12"/>
  <c r="I15" i="12"/>
  <c r="H15" i="12"/>
  <c r="G15" i="12"/>
  <c r="J14" i="12"/>
  <c r="I14" i="12"/>
  <c r="H14" i="12"/>
  <c r="G14" i="12"/>
  <c r="J13" i="12"/>
  <c r="I13" i="12"/>
  <c r="H13" i="12"/>
  <c r="G13" i="12"/>
  <c r="E17" i="10" l="1"/>
  <c r="E16" i="10"/>
  <c r="E15" i="10"/>
  <c r="E14" i="10"/>
</calcChain>
</file>

<file path=xl/sharedStrings.xml><?xml version="1.0" encoding="utf-8"?>
<sst xmlns="http://schemas.openxmlformats.org/spreadsheetml/2006/main" count="94" uniqueCount="51">
  <si>
    <t>No</t>
  </si>
  <si>
    <t>AGGREGATE PLANNING</t>
  </si>
  <si>
    <t>Nama Family</t>
  </si>
  <si>
    <t>M0</t>
  </si>
  <si>
    <t>M1</t>
  </si>
  <si>
    <t>M2</t>
  </si>
  <si>
    <t>M3</t>
  </si>
  <si>
    <t>M4</t>
  </si>
  <si>
    <t>SOH</t>
  </si>
  <si>
    <t>SF</t>
  </si>
  <si>
    <t>AP</t>
  </si>
  <si>
    <t>MASTER PRODUCTION SCHEDULE</t>
  </si>
  <si>
    <t>W1</t>
  </si>
  <si>
    <t>W2</t>
  </si>
  <si>
    <t>W3</t>
  </si>
  <si>
    <t>W4</t>
  </si>
  <si>
    <t>Nama Barang</t>
  </si>
  <si>
    <t>Lot Size</t>
  </si>
  <si>
    <t>Actual
Order</t>
  </si>
  <si>
    <t>MPS</t>
  </si>
  <si>
    <t>Balance</t>
  </si>
  <si>
    <t>Eff</t>
  </si>
  <si>
    <t>Nama Mesin</t>
  </si>
  <si>
    <t>Packing</t>
  </si>
  <si>
    <t>Limit</t>
  </si>
  <si>
    <t>RCCP</t>
  </si>
  <si>
    <t>Jmlh Mesin</t>
  </si>
  <si>
    <t>Stock on Hand</t>
  </si>
  <si>
    <t>Sales Forecast</t>
  </si>
  <si>
    <t>Agregrat Planning</t>
  </si>
  <si>
    <t>Kursi</t>
  </si>
  <si>
    <t>Meja</t>
  </si>
  <si>
    <t>Lemari</t>
  </si>
  <si>
    <t>Kursi Makan Coklat (M)</t>
  </si>
  <si>
    <t>Kursi Kantor Hitam (L)</t>
  </si>
  <si>
    <t>Kursi Siswa Biru (M)</t>
  </si>
  <si>
    <t>Kursi Sofa Putih (L)</t>
  </si>
  <si>
    <t>Potong</t>
  </si>
  <si>
    <t>Profilling</t>
  </si>
  <si>
    <t>Bor</t>
  </si>
  <si>
    <t>CNC</t>
  </si>
  <si>
    <t>Finishing</t>
  </si>
  <si>
    <t>Meja Makan Coklat</t>
  </si>
  <si>
    <t>Meja Outdor Hitam</t>
  </si>
  <si>
    <t>Meja Kerja Putih</t>
  </si>
  <si>
    <t>Meja Belajar Biru</t>
  </si>
  <si>
    <t>Item</t>
  </si>
  <si>
    <t>*Note</t>
  </si>
  <si>
    <t>Order Qty</t>
  </si>
  <si>
    <t>CT</t>
  </si>
  <si>
    <t>Total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</si>
</sst>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_-;\-* #,##0.0_-;_-* &quot;-&quot;_-;_-@_-"/>
    <numFmt numFmtId="166" formatCode="_-* #,##0.00_-;\-* #,##0.0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"/>
      <family val="1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i/>
      <sz val="10"/>
      <color theme="1"/>
      <name val="Verdana"/>
      <family val="2"/>
    </font>
    <font>
      <sz val="10"/>
      <color theme="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thin">
        <color theme="0" tint="-0.24994659260841701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theme="0" tint="-0.2499465926084170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dotted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auto="1"/>
      </left>
      <right style="dotted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dotted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dotted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 style="thin">
        <color indexed="64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6" borderId="5" xfId="1" applyFont="1" applyFill="1" applyBorder="1" applyAlignment="1">
      <alignment horizontal="center" vertical="center"/>
    </xf>
    <xf numFmtId="164" fontId="3" fillId="8" borderId="4" xfId="1" applyFont="1" applyFill="1" applyBorder="1" applyAlignment="1">
      <alignment vertical="center"/>
    </xf>
    <xf numFmtId="164" fontId="3" fillId="6" borderId="11" xfId="0" applyNumberFormat="1" applyFont="1" applyFill="1" applyBorder="1" applyAlignment="1">
      <alignment vertical="center"/>
    </xf>
    <xf numFmtId="164" fontId="3" fillId="7" borderId="21" xfId="0" applyNumberFormat="1" applyFont="1" applyFill="1" applyBorder="1" applyAlignment="1">
      <alignment vertical="center"/>
    </xf>
    <xf numFmtId="164" fontId="3" fillId="6" borderId="12" xfId="1" applyFont="1" applyFill="1" applyBorder="1" applyAlignment="1">
      <alignment vertical="center"/>
    </xf>
    <xf numFmtId="164" fontId="3" fillId="7" borderId="13" xfId="1" applyFont="1" applyFill="1" applyBorder="1" applyAlignment="1">
      <alignment vertical="center"/>
    </xf>
    <xf numFmtId="164" fontId="3" fillId="6" borderId="11" xfId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4" fontId="3" fillId="6" borderId="6" xfId="1" applyFont="1" applyFill="1" applyBorder="1" applyAlignment="1">
      <alignment horizontal="center" vertical="center"/>
    </xf>
    <xf numFmtId="164" fontId="3" fillId="6" borderId="14" xfId="0" applyNumberFormat="1" applyFont="1" applyFill="1" applyBorder="1" applyAlignment="1">
      <alignment vertical="center"/>
    </xf>
    <xf numFmtId="164" fontId="3" fillId="6" borderId="15" xfId="1" applyFont="1" applyFill="1" applyBorder="1" applyAlignment="1">
      <alignment vertical="center"/>
    </xf>
    <xf numFmtId="164" fontId="3" fillId="7" borderId="16" xfId="1" applyFont="1" applyFill="1" applyBorder="1" applyAlignment="1">
      <alignment vertical="center"/>
    </xf>
    <xf numFmtId="164" fontId="3" fillId="6" borderId="14" xfId="1" applyFont="1" applyFill="1" applyBorder="1" applyAlignment="1">
      <alignment vertical="center"/>
    </xf>
    <xf numFmtId="164" fontId="3" fillId="6" borderId="7" xfId="1" applyFont="1" applyFill="1" applyBorder="1" applyAlignment="1">
      <alignment horizontal="center" vertical="center"/>
    </xf>
    <xf numFmtId="164" fontId="3" fillId="6" borderId="17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164" fontId="3" fillId="5" borderId="5" xfId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vertical="center"/>
    </xf>
    <xf numFmtId="164" fontId="3" fillId="5" borderId="12" xfId="1" applyFont="1" applyFill="1" applyBorder="1" applyAlignment="1">
      <alignment vertical="center"/>
    </xf>
    <xf numFmtId="164" fontId="3" fillId="0" borderId="13" xfId="1" applyFont="1" applyBorder="1" applyAlignment="1">
      <alignment vertical="center"/>
    </xf>
    <xf numFmtId="164" fontId="3" fillId="5" borderId="6" xfId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vertical="center"/>
    </xf>
    <xf numFmtId="164" fontId="3" fillId="5" borderId="15" xfId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4" fillId="9" borderId="1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9" fontId="3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vertical="center"/>
    </xf>
    <xf numFmtId="9" fontId="3" fillId="0" borderId="4" xfId="2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4">
    <cellStyle name="Comma [0]" xfId="1" builtinId="6"/>
    <cellStyle name="Normal" xfId="0" builtinId="0"/>
    <cellStyle name="Normal 2" xfId="3" xr:uid="{8E6E64EB-8299-4F40-B635-A109F5408D2B}"/>
    <cellStyle name="Percent" xfId="2" builtinId="5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 b="1"/>
              <a:t>Job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RCCP!$C$13</c:f>
              <c:strCache>
                <c:ptCount val="1"/>
                <c:pt idx="0">
                  <c:v>Potong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RCCP!$G$13:$J$13</c:f>
              <c:numCache>
                <c:formatCode>_-* #,##0.0_-;\-* #,##0.0_-;_-* "-"_-;_-@_-</c:formatCode>
                <c:ptCount val="4"/>
                <c:pt idx="0">
                  <c:v>1.1437908496732028</c:v>
                </c:pt>
                <c:pt idx="1">
                  <c:v>0.98039215686274517</c:v>
                </c:pt>
                <c:pt idx="2">
                  <c:v>0.81699346405228768</c:v>
                </c:pt>
                <c:pt idx="3">
                  <c:v>0.89869281045751637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2-4BCF-AD05-99F9496EB584}"/>
            </c:ext>
          </c:extLst>
        </c:ser>
        <c:ser>
          <c:idx val="1"/>
          <c:order val="1"/>
          <c:tx>
            <c:strRef>
              <c:f>RCCP!$C$14</c:f>
              <c:strCache>
                <c:ptCount val="1"/>
                <c:pt idx="0">
                  <c:v>Profilling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RCCP!$G$14:$J$14</c:f>
              <c:numCache>
                <c:formatCode>_-* #,##0.0_-;\-* #,##0.0_-;_-* "-"_-;_-@_-</c:formatCode>
                <c:ptCount val="4"/>
                <c:pt idx="0">
                  <c:v>2.4561403508771931</c:v>
                </c:pt>
                <c:pt idx="1">
                  <c:v>2.1052631578947372</c:v>
                </c:pt>
                <c:pt idx="2">
                  <c:v>1.7543859649122808</c:v>
                </c:pt>
                <c:pt idx="3">
                  <c:v>1.9298245614035088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2-4BCF-AD05-99F9496EB584}"/>
            </c:ext>
          </c:extLst>
        </c:ser>
        <c:ser>
          <c:idx val="2"/>
          <c:order val="2"/>
          <c:tx>
            <c:strRef>
              <c:f>RCCP!$C$15</c:f>
              <c:strCache>
                <c:ptCount val="1"/>
                <c:pt idx="0">
                  <c:v>Bor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RCCP!$G$15:$J$15</c:f>
              <c:numCache>
                <c:formatCode>_-* #,##0.0_-;\-* #,##0.0_-;_-* "-"_-;_-@_-</c:formatCode>
                <c:ptCount val="4"/>
                <c:pt idx="0">
                  <c:v>2.7450980392156863</c:v>
                </c:pt>
                <c:pt idx="1">
                  <c:v>2.3529411764705879</c:v>
                </c:pt>
                <c:pt idx="2">
                  <c:v>1.9607843137254903</c:v>
                </c:pt>
                <c:pt idx="3">
                  <c:v>2.1568627450980391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2-4BCF-AD05-99F9496EB584}"/>
            </c:ext>
          </c:extLst>
        </c:ser>
        <c:ser>
          <c:idx val="3"/>
          <c:order val="3"/>
          <c:tx>
            <c:strRef>
              <c:f>RCCP!$C$16</c:f>
              <c:strCache>
                <c:ptCount val="1"/>
                <c:pt idx="0">
                  <c:v>CNC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RCCP!$G$16:$J$16</c:f>
              <c:numCache>
                <c:formatCode>_-* #,##0.0_-;\-* #,##0.0_-;_-* "-"_-;_-@_-</c:formatCode>
                <c:ptCount val="4"/>
                <c:pt idx="0">
                  <c:v>2.5925925925925921</c:v>
                </c:pt>
                <c:pt idx="1">
                  <c:v>2.2222222222222219</c:v>
                </c:pt>
                <c:pt idx="2">
                  <c:v>1.8518518518518516</c:v>
                </c:pt>
                <c:pt idx="3">
                  <c:v>2.0370370370370368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2-4BCF-AD05-99F9496EB584}"/>
            </c:ext>
          </c:extLst>
        </c:ser>
        <c:ser>
          <c:idx val="4"/>
          <c:order val="4"/>
          <c:tx>
            <c:strRef>
              <c:f>RCCP!$C$17</c:f>
              <c:strCache>
                <c:ptCount val="1"/>
                <c:pt idx="0">
                  <c:v>Finishing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RCCP!$G$17:$J$17</c:f>
              <c:numCache>
                <c:formatCode>_-* #,##0.0_-;\-* #,##0.0_-;_-* "-"_-;_-@_-</c:formatCode>
                <c:ptCount val="4"/>
                <c:pt idx="0">
                  <c:v>2.4561403508771931</c:v>
                </c:pt>
                <c:pt idx="1">
                  <c:v>2.1052631578947372</c:v>
                </c:pt>
                <c:pt idx="2">
                  <c:v>1.7543859649122808</c:v>
                </c:pt>
                <c:pt idx="3">
                  <c:v>1.9298245614035088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22-4BCF-AD05-99F9496EB584}"/>
            </c:ext>
          </c:extLst>
        </c:ser>
        <c:ser>
          <c:idx val="5"/>
          <c:order val="5"/>
          <c:tx>
            <c:strRef>
              <c:f>RCCP!$C$18</c:f>
              <c:strCache>
                <c:ptCount val="1"/>
                <c:pt idx="0">
                  <c:v>Packing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RCCP!$G$18:$J$18</c:f>
              <c:numCache>
                <c:formatCode>_-* #,##0.0_-;\-* #,##0.0_-;_-* "-"_-;_-@_-</c:formatCode>
                <c:ptCount val="4"/>
                <c:pt idx="0">
                  <c:v>2.865497076023392</c:v>
                </c:pt>
                <c:pt idx="1">
                  <c:v>2.4561403508771931</c:v>
                </c:pt>
                <c:pt idx="2">
                  <c:v>2.0467836257309941</c:v>
                </c:pt>
                <c:pt idx="3">
                  <c:v>2.2514619883040936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22-4BCF-AD05-99F9496E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4"/>
        <c:axId val="1430504272"/>
        <c:axId val="1418084352"/>
      </c:barChart>
      <c:lineChart>
        <c:grouping val="stacked"/>
        <c:varyColors val="0"/>
        <c:ser>
          <c:idx val="6"/>
          <c:order val="6"/>
          <c:tx>
            <c:strRef>
              <c:f>RCCP!$F$19</c:f>
              <c:strCache>
                <c:ptCount val="1"/>
                <c:pt idx="0">
                  <c:v>Limit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RCCP!$G$12:$J$12</c:f>
              <c:strCache>
                <c:ptCount val="4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</c:strCache>
            </c:strRef>
          </c:cat>
          <c:val>
            <c:numRef>
              <c:f>RCCP!$G$19:$J$19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22-4BCF-AD05-99F9496E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504272"/>
        <c:axId val="1418084352"/>
      </c:lineChart>
      <c:catAx>
        <c:axId val="143050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084352"/>
        <c:crosses val="autoZero"/>
        <c:auto val="1"/>
        <c:lblAlgn val="ctr"/>
        <c:lblOffset val="100"/>
        <c:noMultiLvlLbl val="0"/>
      </c:catAx>
      <c:valAx>
        <c:axId val="1418084352"/>
        <c:scaling>
          <c:orientation val="minMax"/>
        </c:scaling>
        <c:delete val="0"/>
        <c:axPos val="l"/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50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20</xdr:row>
      <xdr:rowOff>35486</xdr:rowOff>
    </xdr:from>
    <xdr:to>
      <xdr:col>8</xdr:col>
      <xdr:colOff>598581</xdr:colOff>
      <xdr:row>33</xdr:row>
      <xdr:rowOff>54536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6323E-EB98-47DB-A95E-669B05ECA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0C84-2B53-4A4E-B5B8-54B17D67A16D}">
  <sheetPr>
    <tabColor rgb="FFFFFF00"/>
  </sheetPr>
  <dimension ref="B2:O12"/>
  <sheetViews>
    <sheetView showGridLines="0" zoomScale="87" workbookViewId="0">
      <selection activeCell="E33" sqref="E33"/>
    </sheetView>
  </sheetViews>
  <sheetFormatPr defaultColWidth="9.109375" defaultRowHeight="16.5" customHeight="1" x14ac:dyDescent="0.3"/>
  <cols>
    <col min="1" max="1" width="6" style="1" customWidth="1"/>
    <col min="2" max="2" width="15.88671875" style="1" customWidth="1"/>
    <col min="3" max="15" width="9.5546875" style="1" customWidth="1"/>
    <col min="16" max="16384" width="9.109375" style="1"/>
  </cols>
  <sheetData>
    <row r="2" spans="2:15" ht="16.5" customHeight="1" x14ac:dyDescent="0.3">
      <c r="B2" s="2" t="s">
        <v>1</v>
      </c>
      <c r="D2" s="2"/>
    </row>
    <row r="4" spans="2:15" ht="16.5" customHeight="1" x14ac:dyDescent="0.3">
      <c r="B4" s="60" t="s">
        <v>2</v>
      </c>
      <c r="C4" s="35" t="s">
        <v>3</v>
      </c>
      <c r="D4" s="61" t="s">
        <v>4</v>
      </c>
      <c r="E4" s="62"/>
      <c r="F4" s="36">
        <v>22</v>
      </c>
      <c r="G4" s="61" t="s">
        <v>5</v>
      </c>
      <c r="H4" s="62"/>
      <c r="I4" s="36">
        <v>20</v>
      </c>
      <c r="J4" s="61" t="s">
        <v>6</v>
      </c>
      <c r="K4" s="62"/>
      <c r="L4" s="36">
        <v>22</v>
      </c>
      <c r="M4" s="61" t="s">
        <v>7</v>
      </c>
      <c r="N4" s="62"/>
      <c r="O4" s="36">
        <v>24</v>
      </c>
    </row>
    <row r="5" spans="2:15" ht="16.5" customHeight="1" x14ac:dyDescent="0.3">
      <c r="B5" s="60"/>
      <c r="C5" s="3" t="s">
        <v>8</v>
      </c>
      <c r="D5" s="37" t="s">
        <v>9</v>
      </c>
      <c r="E5" s="38" t="s">
        <v>10</v>
      </c>
      <c r="F5" s="39" t="s">
        <v>8</v>
      </c>
      <c r="G5" s="37" t="s">
        <v>9</v>
      </c>
      <c r="H5" s="38" t="s">
        <v>10</v>
      </c>
      <c r="I5" s="39" t="s">
        <v>8</v>
      </c>
      <c r="J5" s="37" t="s">
        <v>9</v>
      </c>
      <c r="K5" s="38" t="s">
        <v>10</v>
      </c>
      <c r="L5" s="39" t="s">
        <v>8</v>
      </c>
      <c r="M5" s="37" t="s">
        <v>9</v>
      </c>
      <c r="N5" s="38" t="s">
        <v>10</v>
      </c>
      <c r="O5" s="39" t="s">
        <v>8</v>
      </c>
    </row>
    <row r="6" spans="2:15" ht="16.5" customHeight="1" x14ac:dyDescent="0.3">
      <c r="B6" s="12" t="s">
        <v>30</v>
      </c>
      <c r="C6" s="40">
        <v>2300</v>
      </c>
      <c r="D6" s="41">
        <v>7500</v>
      </c>
      <c r="E6" s="42">
        <v>5850</v>
      </c>
      <c r="F6" s="43">
        <f>C6-D6+E6</f>
        <v>650</v>
      </c>
      <c r="G6" s="41">
        <v>5200</v>
      </c>
      <c r="H6" s="42">
        <v>5850</v>
      </c>
      <c r="I6" s="43">
        <f>F6-G6+H6</f>
        <v>1300</v>
      </c>
      <c r="J6" s="41">
        <v>5000</v>
      </c>
      <c r="K6" s="42">
        <v>5850</v>
      </c>
      <c r="L6" s="43">
        <f>I6-J6+K6</f>
        <v>2150</v>
      </c>
      <c r="M6" s="41">
        <v>7000</v>
      </c>
      <c r="N6" s="42">
        <v>5850</v>
      </c>
      <c r="O6" s="43">
        <f>L6-M6+N6</f>
        <v>1000</v>
      </c>
    </row>
    <row r="7" spans="2:15" ht="16.5" customHeight="1" x14ac:dyDescent="0.3">
      <c r="B7" s="22" t="s">
        <v>31</v>
      </c>
      <c r="C7" s="44">
        <v>1000</v>
      </c>
      <c r="D7" s="45">
        <v>3000</v>
      </c>
      <c r="E7" s="46">
        <v>2350</v>
      </c>
      <c r="F7" s="43">
        <f t="shared" ref="F7:F8" si="0">C7-D7+E7</f>
        <v>350</v>
      </c>
      <c r="G7" s="45">
        <v>1500</v>
      </c>
      <c r="H7" s="46">
        <v>2350</v>
      </c>
      <c r="I7" s="43">
        <f t="shared" ref="I7:I8" si="1">F7-G7+H7</f>
        <v>1200</v>
      </c>
      <c r="J7" s="45">
        <v>2400</v>
      </c>
      <c r="K7" s="46">
        <v>2350</v>
      </c>
      <c r="L7" s="43">
        <f t="shared" ref="L7:L8" si="2">I7-J7+K7</f>
        <v>1150</v>
      </c>
      <c r="M7" s="45">
        <v>2700</v>
      </c>
      <c r="N7" s="46">
        <v>2350</v>
      </c>
      <c r="O7" s="43">
        <f t="shared" ref="O7:O8" si="3">L7-M7+N7</f>
        <v>800</v>
      </c>
    </row>
    <row r="8" spans="2:15" ht="16.5" customHeight="1" x14ac:dyDescent="0.3">
      <c r="B8" s="22" t="s">
        <v>32</v>
      </c>
      <c r="C8" s="44">
        <v>1500</v>
      </c>
      <c r="D8" s="45">
        <v>3000</v>
      </c>
      <c r="E8" s="46">
        <v>3000</v>
      </c>
      <c r="F8" s="43">
        <f t="shared" si="0"/>
        <v>1500</v>
      </c>
      <c r="G8" s="45">
        <v>1500</v>
      </c>
      <c r="H8" s="46">
        <v>3000</v>
      </c>
      <c r="I8" s="43">
        <f t="shared" si="1"/>
        <v>3000</v>
      </c>
      <c r="J8" s="45">
        <v>2000</v>
      </c>
      <c r="K8" s="46">
        <v>3000</v>
      </c>
      <c r="L8" s="43">
        <f t="shared" si="2"/>
        <v>4000</v>
      </c>
      <c r="M8" s="45">
        <v>2500</v>
      </c>
      <c r="N8" s="46">
        <v>3000</v>
      </c>
      <c r="O8" s="43">
        <f t="shared" si="3"/>
        <v>4500</v>
      </c>
    </row>
    <row r="10" spans="2:15" ht="16.5" customHeight="1" x14ac:dyDescent="0.3">
      <c r="B10" s="47" t="s">
        <v>8</v>
      </c>
      <c r="C10" s="1" t="s">
        <v>27</v>
      </c>
    </row>
    <row r="11" spans="2:15" ht="16.5" customHeight="1" x14ac:dyDescent="0.3">
      <c r="B11" s="47" t="s">
        <v>9</v>
      </c>
      <c r="C11" s="1" t="s">
        <v>28</v>
      </c>
    </row>
    <row r="12" spans="2:15" ht="16.5" customHeight="1" x14ac:dyDescent="0.3">
      <c r="B12" s="47" t="s">
        <v>10</v>
      </c>
      <c r="C12" s="1" t="s">
        <v>29</v>
      </c>
    </row>
  </sheetData>
  <mergeCells count="5">
    <mergeCell ref="B4:B5"/>
    <mergeCell ref="D4:E4"/>
    <mergeCell ref="G4:H4"/>
    <mergeCell ref="J4:K4"/>
    <mergeCell ref="M4:N4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549D-1AD7-4C6E-9B57-2D3B7357C42C}">
  <sheetPr>
    <tabColor rgb="FFFFFF00"/>
  </sheetPr>
  <dimension ref="B2:W18"/>
  <sheetViews>
    <sheetView showGridLines="0" zoomScaleNormal="100" workbookViewId="0">
      <selection activeCell="A30" sqref="A30"/>
    </sheetView>
  </sheetViews>
  <sheetFormatPr defaultColWidth="9.109375" defaultRowHeight="16.5" customHeight="1" x14ac:dyDescent="0.3"/>
  <cols>
    <col min="1" max="1" width="3.109375" style="1" customWidth="1"/>
    <col min="2" max="2" width="4.33203125" style="1" customWidth="1"/>
    <col min="3" max="3" width="22.5546875" style="1" customWidth="1"/>
    <col min="4" max="4" width="10.5546875" style="1" customWidth="1"/>
    <col min="5" max="5" width="11.21875" style="1" bestFit="1" customWidth="1"/>
    <col min="6" max="8" width="8" style="1" customWidth="1"/>
    <col min="9" max="9" width="8.109375" style="1" customWidth="1"/>
    <col min="10" max="21" width="8" style="1" customWidth="1"/>
    <col min="22" max="22" width="1.109375" style="1" customWidth="1"/>
    <col min="23" max="23" width="9.88671875" style="1" customWidth="1"/>
    <col min="24" max="16384" width="9.109375" style="1"/>
  </cols>
  <sheetData>
    <row r="2" spans="2:23" ht="16.5" customHeight="1" x14ac:dyDescent="0.3">
      <c r="B2" s="2" t="s">
        <v>11</v>
      </c>
    </row>
    <row r="3" spans="2:23" ht="16.5" customHeight="1" x14ac:dyDescent="0.3">
      <c r="F3" s="60" t="s">
        <v>12</v>
      </c>
      <c r="G3" s="60"/>
      <c r="H3" s="60"/>
      <c r="I3" s="60"/>
      <c r="J3" s="60" t="s">
        <v>13</v>
      </c>
      <c r="K3" s="60"/>
      <c r="L3" s="60"/>
      <c r="M3" s="60"/>
      <c r="N3" s="60" t="s">
        <v>14</v>
      </c>
      <c r="O3" s="60"/>
      <c r="P3" s="60"/>
      <c r="Q3" s="60"/>
      <c r="R3" s="60" t="s">
        <v>15</v>
      </c>
      <c r="S3" s="60"/>
      <c r="T3" s="60"/>
      <c r="U3" s="60"/>
    </row>
    <row r="4" spans="2:23" s="4" customFormat="1" ht="26.25" customHeight="1" x14ac:dyDescent="0.3">
      <c r="B4" s="5" t="s">
        <v>0</v>
      </c>
      <c r="C4" s="5" t="s">
        <v>16</v>
      </c>
      <c r="D4" s="5" t="s">
        <v>8</v>
      </c>
      <c r="E4" s="6" t="s">
        <v>17</v>
      </c>
      <c r="F4" s="7" t="s">
        <v>18</v>
      </c>
      <c r="G4" s="8" t="s">
        <v>20</v>
      </c>
      <c r="H4" s="9" t="s">
        <v>19</v>
      </c>
      <c r="I4" s="10" t="s">
        <v>8</v>
      </c>
      <c r="J4" s="7" t="s">
        <v>18</v>
      </c>
      <c r="K4" s="8" t="s">
        <v>20</v>
      </c>
      <c r="L4" s="9" t="s">
        <v>19</v>
      </c>
      <c r="M4" s="10" t="s">
        <v>8</v>
      </c>
      <c r="N4" s="7" t="s">
        <v>18</v>
      </c>
      <c r="O4" s="8" t="s">
        <v>20</v>
      </c>
      <c r="P4" s="9" t="s">
        <v>19</v>
      </c>
      <c r="Q4" s="10" t="s">
        <v>8</v>
      </c>
      <c r="R4" s="7" t="s">
        <v>18</v>
      </c>
      <c r="S4" s="8" t="s">
        <v>20</v>
      </c>
      <c r="T4" s="9" t="s">
        <v>19</v>
      </c>
      <c r="U4" s="10" t="s">
        <v>8</v>
      </c>
      <c r="W4" s="11"/>
    </row>
    <row r="5" spans="2:23" ht="16.5" customHeight="1" x14ac:dyDescent="0.3">
      <c r="B5" s="12">
        <v>1</v>
      </c>
      <c r="C5" s="13" t="s">
        <v>42</v>
      </c>
      <c r="D5" s="14">
        <v>300</v>
      </c>
      <c r="E5" s="15">
        <v>100</v>
      </c>
      <c r="F5" s="16">
        <v>450</v>
      </c>
      <c r="G5" s="17">
        <f>D5-F5</f>
        <v>-150</v>
      </c>
      <c r="H5" s="18">
        <v>200</v>
      </c>
      <c r="I5" s="19">
        <f>G5+H5</f>
        <v>50</v>
      </c>
      <c r="J5" s="20">
        <v>165</v>
      </c>
      <c r="K5" s="17">
        <f>I5-J5</f>
        <v>-115</v>
      </c>
      <c r="L5" s="18">
        <v>200</v>
      </c>
      <c r="M5" s="19">
        <f>K5+L5</f>
        <v>85</v>
      </c>
      <c r="N5" s="20">
        <v>120</v>
      </c>
      <c r="O5" s="17">
        <f>M5-N5</f>
        <v>-35</v>
      </c>
      <c r="P5" s="18">
        <v>100</v>
      </c>
      <c r="Q5" s="19">
        <f>O5+P5</f>
        <v>65</v>
      </c>
      <c r="R5" s="20">
        <v>134</v>
      </c>
      <c r="S5" s="17">
        <f>Q5-R5</f>
        <v>-69</v>
      </c>
      <c r="T5" s="18">
        <v>100</v>
      </c>
      <c r="U5" s="19">
        <f>S5+T5</f>
        <v>31</v>
      </c>
    </row>
    <row r="6" spans="2:23" ht="16.5" customHeight="1" x14ac:dyDescent="0.3">
      <c r="B6" s="22">
        <v>2</v>
      </c>
      <c r="C6" s="23" t="s">
        <v>45</v>
      </c>
      <c r="D6" s="24">
        <v>150</v>
      </c>
      <c r="E6" s="15">
        <v>50</v>
      </c>
      <c r="F6" s="25">
        <v>255</v>
      </c>
      <c r="G6" s="17">
        <f>D6-F6</f>
        <v>-105</v>
      </c>
      <c r="H6" s="26">
        <v>150</v>
      </c>
      <c r="I6" s="27">
        <f>G6+H6</f>
        <v>45</v>
      </c>
      <c r="J6" s="28">
        <v>88</v>
      </c>
      <c r="K6" s="17">
        <f t="shared" ref="K6:K8" si="0">I6-J6</f>
        <v>-43</v>
      </c>
      <c r="L6" s="26">
        <v>50</v>
      </c>
      <c r="M6" s="19">
        <f t="shared" ref="M6:M8" si="1">K6+L6</f>
        <v>7</v>
      </c>
      <c r="N6" s="28">
        <v>45</v>
      </c>
      <c r="O6" s="17">
        <f t="shared" ref="O6:O8" si="2">M6-N6</f>
        <v>-38</v>
      </c>
      <c r="P6" s="26">
        <v>50</v>
      </c>
      <c r="Q6" s="19">
        <f t="shared" ref="Q6:Q8" si="3">O6+P6</f>
        <v>12</v>
      </c>
      <c r="R6" s="28">
        <v>75</v>
      </c>
      <c r="S6" s="17">
        <f t="shared" ref="S6:S8" si="4">Q6-R6</f>
        <v>-63</v>
      </c>
      <c r="T6" s="26">
        <v>100</v>
      </c>
      <c r="U6" s="19">
        <f t="shared" ref="U6:U8" si="5">S6+T6</f>
        <v>37</v>
      </c>
    </row>
    <row r="7" spans="2:23" ht="16.5" customHeight="1" x14ac:dyDescent="0.3">
      <c r="B7" s="22">
        <v>3</v>
      </c>
      <c r="C7" s="23" t="s">
        <v>44</v>
      </c>
      <c r="D7" s="24">
        <v>400</v>
      </c>
      <c r="E7" s="15">
        <v>200</v>
      </c>
      <c r="F7" s="25">
        <v>450</v>
      </c>
      <c r="G7" s="17">
        <f t="shared" ref="G7:G8" si="6">D7-F7</f>
        <v>-50</v>
      </c>
      <c r="H7" s="26">
        <v>200</v>
      </c>
      <c r="I7" s="27">
        <f t="shared" ref="I7:I8" si="7">G7+H7</f>
        <v>150</v>
      </c>
      <c r="J7" s="28">
        <v>155</v>
      </c>
      <c r="K7" s="17">
        <f t="shared" si="0"/>
        <v>-5</v>
      </c>
      <c r="L7" s="26">
        <v>200</v>
      </c>
      <c r="M7" s="19">
        <f t="shared" si="1"/>
        <v>195</v>
      </c>
      <c r="N7" s="28">
        <v>220</v>
      </c>
      <c r="O7" s="17">
        <f t="shared" si="2"/>
        <v>-25</v>
      </c>
      <c r="P7" s="26">
        <v>200</v>
      </c>
      <c r="Q7" s="19">
        <f t="shared" si="3"/>
        <v>175</v>
      </c>
      <c r="R7" s="28">
        <v>190</v>
      </c>
      <c r="S7" s="17">
        <f t="shared" si="4"/>
        <v>-15</v>
      </c>
      <c r="T7" s="26">
        <v>200</v>
      </c>
      <c r="U7" s="19">
        <f t="shared" si="5"/>
        <v>185</v>
      </c>
    </row>
    <row r="8" spans="2:23" ht="16.5" customHeight="1" x14ac:dyDescent="0.3">
      <c r="B8" s="22">
        <v>4</v>
      </c>
      <c r="C8" s="23" t="s">
        <v>43</v>
      </c>
      <c r="D8" s="29">
        <v>150</v>
      </c>
      <c r="E8" s="15">
        <v>150</v>
      </c>
      <c r="F8" s="30">
        <v>200</v>
      </c>
      <c r="G8" s="17">
        <f t="shared" si="6"/>
        <v>-50</v>
      </c>
      <c r="H8" s="26">
        <v>150</v>
      </c>
      <c r="I8" s="27">
        <f t="shared" si="7"/>
        <v>100</v>
      </c>
      <c r="J8" s="28">
        <v>220</v>
      </c>
      <c r="K8" s="17">
        <f t="shared" si="0"/>
        <v>-120</v>
      </c>
      <c r="L8" s="26">
        <v>150</v>
      </c>
      <c r="M8" s="19">
        <f t="shared" si="1"/>
        <v>30</v>
      </c>
      <c r="N8" s="28">
        <v>160</v>
      </c>
      <c r="O8" s="17">
        <f t="shared" si="2"/>
        <v>-130</v>
      </c>
      <c r="P8" s="26">
        <v>150</v>
      </c>
      <c r="Q8" s="19">
        <f t="shared" si="3"/>
        <v>20</v>
      </c>
      <c r="R8" s="28">
        <v>73</v>
      </c>
      <c r="S8" s="17">
        <f t="shared" si="4"/>
        <v>-53</v>
      </c>
      <c r="T8" s="26">
        <v>150</v>
      </c>
      <c r="U8" s="19">
        <f t="shared" si="5"/>
        <v>97</v>
      </c>
    </row>
    <row r="9" spans="2:23" ht="16.5" customHeight="1" x14ac:dyDescent="0.3">
      <c r="D9" s="21"/>
      <c r="F9" s="21"/>
      <c r="G9" s="21"/>
      <c r="H9" s="21"/>
      <c r="J9" s="21"/>
      <c r="K9" s="21"/>
      <c r="L9" s="21"/>
      <c r="N9" s="21"/>
      <c r="O9" s="21"/>
      <c r="P9" s="21"/>
      <c r="R9" s="21"/>
      <c r="S9" s="21"/>
      <c r="T9" s="21"/>
    </row>
    <row r="10" spans="2:23" ht="16.5" customHeight="1" x14ac:dyDescent="0.3">
      <c r="D10" s="21"/>
    </row>
    <row r="11" spans="2:23" ht="16.5" customHeight="1" x14ac:dyDescent="0.3">
      <c r="F11" s="21"/>
      <c r="G11" s="21"/>
    </row>
    <row r="12" spans="2:23" ht="16.5" customHeight="1" x14ac:dyDescent="0.3">
      <c r="C12" s="31" t="s">
        <v>47</v>
      </c>
    </row>
    <row r="13" spans="2:23" ht="16.5" customHeight="1" x14ac:dyDescent="0.3">
      <c r="C13" s="32" t="s">
        <v>46</v>
      </c>
      <c r="D13" s="32" t="s">
        <v>17</v>
      </c>
      <c r="E13" s="32" t="s">
        <v>48</v>
      </c>
    </row>
    <row r="14" spans="2:23" ht="16.5" customHeight="1" x14ac:dyDescent="0.3">
      <c r="C14" s="34" t="s">
        <v>42</v>
      </c>
      <c r="D14" s="33">
        <v>100</v>
      </c>
      <c r="E14" s="58">
        <f>SUM(R5+N5+J5+F5)</f>
        <v>869</v>
      </c>
    </row>
    <row r="15" spans="2:23" ht="16.5" customHeight="1" x14ac:dyDescent="0.3">
      <c r="C15" s="34" t="s">
        <v>45</v>
      </c>
      <c r="D15" s="33">
        <v>50</v>
      </c>
      <c r="E15" s="58">
        <f>SUM(R6+N6+J6+F6)</f>
        <v>463</v>
      </c>
    </row>
    <row r="16" spans="2:23" ht="16.5" customHeight="1" x14ac:dyDescent="0.3">
      <c r="C16" s="34" t="s">
        <v>44</v>
      </c>
      <c r="D16" s="33">
        <v>200</v>
      </c>
      <c r="E16" s="58">
        <f>SUM(R7+N7+J7+F7)</f>
        <v>1015</v>
      </c>
    </row>
    <row r="17" spans="3:5" ht="16.5" customHeight="1" x14ac:dyDescent="0.3">
      <c r="C17" s="34" t="s">
        <v>43</v>
      </c>
      <c r="D17" s="33">
        <v>150</v>
      </c>
      <c r="E17" s="58">
        <f>SUM(R8+N8+J8+F8)</f>
        <v>653</v>
      </c>
    </row>
    <row r="18" spans="3:5" ht="16.5" customHeight="1" x14ac:dyDescent="0.3">
      <c r="C18" s="60" t="s">
        <v>50</v>
      </c>
      <c r="D18" s="60"/>
      <c r="E18" s="59">
        <f>SUM(E14:E17)</f>
        <v>3000</v>
      </c>
    </row>
  </sheetData>
  <mergeCells count="5">
    <mergeCell ref="F3:I3"/>
    <mergeCell ref="J3:M3"/>
    <mergeCell ref="N3:Q3"/>
    <mergeCell ref="R3:U3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0363-D368-4C04-9652-A12EE60B41EF}">
  <sheetPr>
    <tabColor rgb="FFFFFF00"/>
  </sheetPr>
  <dimension ref="B4:M19"/>
  <sheetViews>
    <sheetView showGridLines="0" tabSelected="1" zoomScale="85" zoomScaleNormal="85" workbookViewId="0">
      <selection activeCell="S1048576" sqref="S1048576"/>
    </sheetView>
  </sheetViews>
  <sheetFormatPr defaultColWidth="9.109375" defaultRowHeight="16.5" customHeight="1" x14ac:dyDescent="0.3"/>
  <cols>
    <col min="1" max="1" width="2.88671875" style="1" customWidth="1"/>
    <col min="2" max="2" width="6.6640625" style="1" customWidth="1"/>
    <col min="3" max="3" width="25.77734375" style="1" customWidth="1"/>
    <col min="4" max="4" width="12.33203125" style="1" bestFit="1" customWidth="1"/>
    <col min="5" max="5" width="11.33203125" style="1" customWidth="1"/>
    <col min="6" max="6" width="15" style="1" customWidth="1"/>
    <col min="7" max="10" width="9.109375" style="1"/>
    <col min="11" max="11" width="3.44140625" style="1" customWidth="1"/>
    <col min="12" max="12" width="9.33203125" style="1" bestFit="1" customWidth="1"/>
    <col min="13" max="16384" width="9.109375" style="1"/>
  </cols>
  <sheetData>
    <row r="4" spans="2:13" ht="16.5" customHeight="1" x14ac:dyDescent="0.3">
      <c r="B4" s="2" t="s">
        <v>25</v>
      </c>
      <c r="D4" s="32" t="s">
        <v>12</v>
      </c>
      <c r="E4" s="32" t="s">
        <v>13</v>
      </c>
      <c r="F4" s="32" t="s">
        <v>14</v>
      </c>
      <c r="G4" s="32" t="s">
        <v>15</v>
      </c>
    </row>
    <row r="5" spans="2:13" ht="16.5" customHeight="1" x14ac:dyDescent="0.3">
      <c r="B5" s="32" t="s">
        <v>0</v>
      </c>
      <c r="C5" s="48" t="s">
        <v>16</v>
      </c>
      <c r="D5" s="32">
        <v>5</v>
      </c>
      <c r="E5" s="32">
        <v>5</v>
      </c>
      <c r="F5" s="32">
        <v>5</v>
      </c>
      <c r="G5" s="32">
        <v>5</v>
      </c>
    </row>
    <row r="6" spans="2:13" ht="16.5" customHeight="1" x14ac:dyDescent="0.3">
      <c r="B6" s="12">
        <v>1</v>
      </c>
      <c r="C6" s="49" t="s">
        <v>33</v>
      </c>
      <c r="D6" s="18">
        <v>200</v>
      </c>
      <c r="E6" s="18">
        <v>200</v>
      </c>
      <c r="F6" s="18">
        <v>100</v>
      </c>
      <c r="G6" s="18">
        <v>100</v>
      </c>
      <c r="L6" s="21"/>
      <c r="M6" s="21"/>
    </row>
    <row r="7" spans="2:13" ht="16.5" customHeight="1" x14ac:dyDescent="0.3">
      <c r="B7" s="22">
        <v>2</v>
      </c>
      <c r="C7" s="50" t="s">
        <v>34</v>
      </c>
      <c r="D7" s="26">
        <v>150</v>
      </c>
      <c r="E7" s="26">
        <v>50</v>
      </c>
      <c r="F7" s="26">
        <v>50</v>
      </c>
      <c r="G7" s="26">
        <v>100</v>
      </c>
      <c r="L7" s="21"/>
      <c r="M7" s="21"/>
    </row>
    <row r="8" spans="2:13" ht="16.5" customHeight="1" x14ac:dyDescent="0.3">
      <c r="B8" s="22">
        <v>3</v>
      </c>
      <c r="C8" s="50" t="s">
        <v>35</v>
      </c>
      <c r="D8" s="26">
        <v>200</v>
      </c>
      <c r="E8" s="26">
        <v>200</v>
      </c>
      <c r="F8" s="26">
        <v>200</v>
      </c>
      <c r="G8" s="26">
        <v>200</v>
      </c>
      <c r="L8" s="51"/>
      <c r="M8" s="51"/>
    </row>
    <row r="9" spans="2:13" ht="16.5" customHeight="1" x14ac:dyDescent="0.3">
      <c r="B9" s="22">
        <v>4</v>
      </c>
      <c r="C9" s="50" t="s">
        <v>36</v>
      </c>
      <c r="D9" s="26">
        <v>150</v>
      </c>
      <c r="E9" s="26">
        <v>150</v>
      </c>
      <c r="F9" s="26">
        <v>150</v>
      </c>
      <c r="G9" s="26">
        <v>150</v>
      </c>
      <c r="M9" s="52"/>
    </row>
    <row r="12" spans="2:13" ht="16.5" customHeight="1" x14ac:dyDescent="0.3">
      <c r="B12" s="32" t="s">
        <v>0</v>
      </c>
      <c r="C12" s="32" t="s">
        <v>22</v>
      </c>
      <c r="D12" s="32" t="s">
        <v>26</v>
      </c>
      <c r="E12" s="32" t="s">
        <v>49</v>
      </c>
      <c r="F12" s="32" t="s">
        <v>21</v>
      </c>
      <c r="G12" s="32" t="s">
        <v>12</v>
      </c>
      <c r="H12" s="32" t="s">
        <v>13</v>
      </c>
      <c r="I12" s="32" t="s">
        <v>14</v>
      </c>
      <c r="J12" s="32" t="s">
        <v>15</v>
      </c>
    </row>
    <row r="13" spans="2:13" ht="16.5" customHeight="1" x14ac:dyDescent="0.3">
      <c r="B13" s="12">
        <v>1</v>
      </c>
      <c r="C13" s="34" t="s">
        <v>37</v>
      </c>
      <c r="D13" s="5">
        <v>2</v>
      </c>
      <c r="E13" s="5">
        <v>50</v>
      </c>
      <c r="F13" s="53">
        <v>0.85</v>
      </c>
      <c r="G13" s="54">
        <f t="shared" ref="G13:J18" si="0">(SUM(D$6:D$9)/D$5)*$E13/($D13*$F13)/3600</f>
        <v>1.1437908496732028</v>
      </c>
      <c r="H13" s="54">
        <f t="shared" si="0"/>
        <v>0.98039215686274517</v>
      </c>
      <c r="I13" s="54">
        <f t="shared" si="0"/>
        <v>0.81699346405228768</v>
      </c>
      <c r="J13" s="54">
        <f t="shared" si="0"/>
        <v>0.89869281045751637</v>
      </c>
    </row>
    <row r="14" spans="2:13" ht="16.5" customHeight="1" x14ac:dyDescent="0.3">
      <c r="B14" s="22">
        <v>2</v>
      </c>
      <c r="C14" s="34" t="s">
        <v>38</v>
      </c>
      <c r="D14" s="5">
        <v>2</v>
      </c>
      <c r="E14" s="5">
        <v>120</v>
      </c>
      <c r="F14" s="55">
        <v>0.95</v>
      </c>
      <c r="G14" s="54">
        <f t="shared" si="0"/>
        <v>2.4561403508771931</v>
      </c>
      <c r="H14" s="54">
        <f t="shared" si="0"/>
        <v>2.1052631578947372</v>
      </c>
      <c r="I14" s="54">
        <f t="shared" si="0"/>
        <v>1.7543859649122808</v>
      </c>
      <c r="J14" s="54">
        <f t="shared" si="0"/>
        <v>1.9298245614035088</v>
      </c>
    </row>
    <row r="15" spans="2:13" ht="16.5" customHeight="1" x14ac:dyDescent="0.3">
      <c r="B15" s="22">
        <v>3</v>
      </c>
      <c r="C15" s="34" t="s">
        <v>39</v>
      </c>
      <c r="D15" s="5">
        <v>2</v>
      </c>
      <c r="E15" s="5">
        <v>120</v>
      </c>
      <c r="F15" s="55">
        <v>0.85</v>
      </c>
      <c r="G15" s="54">
        <f t="shared" si="0"/>
        <v>2.7450980392156863</v>
      </c>
      <c r="H15" s="54">
        <f t="shared" si="0"/>
        <v>2.3529411764705879</v>
      </c>
      <c r="I15" s="54">
        <f t="shared" si="0"/>
        <v>1.9607843137254903</v>
      </c>
      <c r="J15" s="54">
        <f t="shared" si="0"/>
        <v>2.1568627450980391</v>
      </c>
    </row>
    <row r="16" spans="2:13" ht="16.5" customHeight="1" x14ac:dyDescent="0.3">
      <c r="B16" s="57">
        <v>4</v>
      </c>
      <c r="C16" s="34" t="s">
        <v>40</v>
      </c>
      <c r="D16" s="5">
        <v>6</v>
      </c>
      <c r="E16" s="5">
        <v>360</v>
      </c>
      <c r="F16" s="55">
        <v>0.9</v>
      </c>
      <c r="G16" s="54">
        <f t="shared" si="0"/>
        <v>2.5925925925925921</v>
      </c>
      <c r="H16" s="54">
        <f t="shared" si="0"/>
        <v>2.2222222222222219</v>
      </c>
      <c r="I16" s="54">
        <f t="shared" si="0"/>
        <v>1.8518518518518516</v>
      </c>
      <c r="J16" s="54">
        <f t="shared" si="0"/>
        <v>2.0370370370370368</v>
      </c>
    </row>
    <row r="17" spans="2:10" ht="16.5" customHeight="1" x14ac:dyDescent="0.3">
      <c r="B17" s="5">
        <v>5</v>
      </c>
      <c r="C17" s="34" t="s">
        <v>41</v>
      </c>
      <c r="D17" s="5">
        <v>4</v>
      </c>
      <c r="E17" s="5">
        <v>240</v>
      </c>
      <c r="F17" s="55">
        <v>0.95</v>
      </c>
      <c r="G17" s="54">
        <f t="shared" si="0"/>
        <v>2.4561403508771931</v>
      </c>
      <c r="H17" s="54">
        <f t="shared" si="0"/>
        <v>2.1052631578947372</v>
      </c>
      <c r="I17" s="54">
        <f t="shared" si="0"/>
        <v>1.7543859649122808</v>
      </c>
      <c r="J17" s="54">
        <f t="shared" si="0"/>
        <v>1.9298245614035088</v>
      </c>
    </row>
    <row r="18" spans="2:10" ht="16.5" customHeight="1" x14ac:dyDescent="0.3">
      <c r="B18" s="5">
        <v>6</v>
      </c>
      <c r="C18" s="34" t="s">
        <v>23</v>
      </c>
      <c r="D18" s="5">
        <v>4</v>
      </c>
      <c r="E18" s="5">
        <v>280</v>
      </c>
      <c r="F18" s="55">
        <v>0.95</v>
      </c>
      <c r="G18" s="54">
        <f t="shared" si="0"/>
        <v>2.865497076023392</v>
      </c>
      <c r="H18" s="54">
        <f t="shared" si="0"/>
        <v>2.4561403508771931</v>
      </c>
      <c r="I18" s="54">
        <f t="shared" si="0"/>
        <v>2.0467836257309941</v>
      </c>
      <c r="J18" s="54">
        <f t="shared" si="0"/>
        <v>2.2514619883040936</v>
      </c>
    </row>
    <row r="19" spans="2:10" ht="16.5" customHeight="1" x14ac:dyDescent="0.3">
      <c r="F19" s="56" t="s">
        <v>24</v>
      </c>
      <c r="G19" s="56">
        <v>8</v>
      </c>
      <c r="H19" s="56">
        <v>8</v>
      </c>
      <c r="I19" s="56">
        <v>8</v>
      </c>
      <c r="J19" s="56">
        <v>8</v>
      </c>
    </row>
  </sheetData>
  <conditionalFormatting sqref="G13:J18">
    <cfRule type="cellIs" dxfId="0" priority="1" operator="greaterThan">
      <formula>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Agregat Planning</vt:lpstr>
      <vt:lpstr>MPS</vt:lpstr>
      <vt:lpstr>RCCP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Handra Tama</dc:creator>
  <cp:lastModifiedBy>ASUS K16</cp:lastModifiedBy>
  <dcterms:created xsi:type="dcterms:W3CDTF">2024-09-12T04:12:33Z</dcterms:created>
  <dcterms:modified xsi:type="dcterms:W3CDTF">2026-08-02T15:50:16Z</dcterms:modified>
</cp:coreProperties>
</file>